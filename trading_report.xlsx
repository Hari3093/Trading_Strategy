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rade Log" sheetId="1" state="visible" r:id="rId1"/>
    <sheet xmlns:r="http://schemas.openxmlformats.org/officeDocument/2006/relationships" name="📈 Performance Summary" sheetId="2" state="visible" r:id="rId2"/>
    <sheet xmlns:r="http://schemas.openxmlformats.org/officeDocument/2006/relationships" name="📅 Monthly Stats" sheetId="3" state="visible" r:id="rId3"/>
  </sheets>
  <definedNames>
    <definedName name="_xlnm._FilterDatabase" localSheetId="0" hidden="1">'📋 Trade Log'!$A$2:$M$27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0.0%"/>
    <numFmt numFmtId="166" formatCode="₹#,##0;(₹#,##0);-"/>
    <numFmt numFmtId="167" formatCode="₹#,##0"/>
    <numFmt numFmtId="168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2C3E50"/>
      <sz val="10"/>
    </font>
    <font>
      <name val="Arial"/>
      <b val="1"/>
      <color rgb="0027AE60"/>
      <sz val="10"/>
    </font>
    <font>
      <name val="Arial"/>
      <b val="1"/>
      <color rgb="00E74C3C"/>
      <sz val="10"/>
    </font>
    <font>
      <name val="Arial"/>
      <b val="1"/>
      <color rgb="002C3E50"/>
      <sz val="10"/>
    </font>
    <font>
      <name val="Arial"/>
      <b val="1"/>
      <color rgb="0027AE60"/>
      <sz val="11"/>
    </font>
    <font>
      <name val="Arial"/>
      <b val="1"/>
      <color rgb="00FFFFFF"/>
      <sz val="11"/>
    </font>
    <font>
      <name val="Arial"/>
      <b val="1"/>
      <color rgb="002D5A8E"/>
      <sz val="9"/>
    </font>
    <font>
      <name val="Arial"/>
      <b val="1"/>
      <color rgb="002C3E50"/>
      <sz val="13"/>
    </font>
  </fonts>
  <fills count="11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D5A8E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3A7CBD"/>
      </patternFill>
    </fill>
    <fill>
      <patternFill patternType="solid">
        <fgColor rgb="00F5F7FA"/>
      </patternFill>
    </fill>
    <fill>
      <patternFill patternType="solid">
        <fgColor rgb="008E44AD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166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8" fillId="3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8" fontId="10" fillId="6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right" vertical="center"/>
    </xf>
    <xf numFmtId="166" fontId="3" fillId="8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'📈 Performance Summary'!E23</f>
            </strRef>
          </tx>
          <spPr>
            <a:ln xmlns:a="http://schemas.openxmlformats.org/drawingml/2006/main" w="20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Performance Summary'!$E$24:$E$48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Ratio</a:t>
            </a:r>
          </a:p>
        </rich>
      </tx>
    </title>
    <plotArea>
      <pieChart>
        <varyColors val="1"/>
        <ser>
          <idx val="0"/>
          <order val="0"/>
          <tx>
            <strRef>
              <f>'📈 Performance Summary'!B50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cat>
            <numRef>
              <f>'📈 Performance Summary'!$A$51:$A$52</f>
            </numRef>
          </cat>
          <val>
            <numRef>
              <f>'📈 Performance Summary'!$B$51:$B$52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P&amp;L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Monthly Stats'!H2</f>
            </strRef>
          </tx>
          <spPr>
            <a:solidFill xmlns:a="http://schemas.openxmlformats.org/drawingml/2006/main">
              <a:srgbClr val="2D5A8E"/>
            </a:solidFill>
            <a:ln xmlns:a="http://schemas.openxmlformats.org/drawingml/2006/main">
              <a:prstDash val="solid"/>
            </a:ln>
          </spPr>
          <cat>
            <numRef>
              <f>'📅 Monthly Stats'!$A$3:$A$5</f>
            </numRef>
          </cat>
          <val>
            <numRef>
              <f>'📅 Monthly Stats'!$H$3:$H$5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Win Rate</a:t>
            </a:r>
          </a:p>
        </rich>
      </tx>
    </title>
    <plotArea>
      <lineChart>
        <grouping val="standard"/>
        <ser>
          <idx val="0"/>
          <order val="0"/>
          <tx>
            <strRef>
              <f>'📅 Monthly Stats'!E2</f>
            </strRef>
          </tx>
          <spPr>
            <a:ln xmlns:a="http://schemas.openxmlformats.org/drawingml/2006/main" w="20000">
              <a:solidFill>
                <a:srgbClr val="F39C1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Monthly Stats'!$A$3:$A$5</f>
            </numRef>
          </cat>
          <val>
            <numRef>
              <f>'📅 Monthly Stats'!$E$3:$E$5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8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D5A8E"/>
    <outlinePr summaryBelow="1" summaryRight="1"/>
    <pageSetUpPr/>
  </sheetPr>
  <dimension ref="A1:M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8" customWidth="1" min="4" max="4"/>
    <col width="11" customWidth="1" min="5" max="5"/>
    <col width="11" customWidth="1" min="6" max="6"/>
    <col width="11" customWidth="1" min="7" max="7"/>
    <col width="12" customWidth="1" min="8" max="8"/>
    <col width="7" customWidth="1" min="9" max="9"/>
    <col width="8" customWidth="1" min="10" max="10"/>
    <col width="12" customWidth="1" min="11" max="11"/>
    <col width="28" customWidth="1" min="12" max="12"/>
    <col width="16" customWidth="1" min="13" max="13"/>
  </cols>
  <sheetData>
    <row r="1" ht="36" customHeight="1">
      <c r="A1" s="1" t="inlineStr">
        <is>
          <t>📊 TRADING JOURNAL — TRADE LOG</t>
        </is>
      </c>
    </row>
    <row r="2" ht="26" customHeight="1">
      <c r="A2" s="2" t="inlineStr">
        <is>
          <t>Date</t>
        </is>
      </c>
      <c r="B2" s="2" t="inlineStr">
        <is>
          <t>Time</t>
        </is>
      </c>
      <c r="C2" s="2" t="inlineStr">
        <is>
          <t>Asset</t>
        </is>
      </c>
      <c r="D2" s="2" t="inlineStr">
        <is>
          <t>Type</t>
        </is>
      </c>
      <c r="E2" s="2" t="inlineStr">
        <is>
          <t>Entry ₹</t>
        </is>
      </c>
      <c r="F2" s="2" t="inlineStr">
        <is>
          <t>Exit ₹</t>
        </is>
      </c>
      <c r="G2" s="2" t="inlineStr">
        <is>
          <t>Stop Loss</t>
        </is>
      </c>
      <c r="H2" s="2" t="inlineStr">
        <is>
          <t>Take Profit</t>
        </is>
      </c>
      <c r="I2" s="2" t="inlineStr">
        <is>
          <t>Qty</t>
        </is>
      </c>
      <c r="J2" s="2" t="inlineStr">
        <is>
          <t>Risk %</t>
        </is>
      </c>
      <c r="K2" s="2" t="inlineStr">
        <is>
          <t>P&amp;L ₹</t>
        </is>
      </c>
      <c r="L2" s="2" t="inlineStr">
        <is>
          <t>Notes</t>
        </is>
      </c>
      <c r="M2" s="2" t="inlineStr">
        <is>
          <t>Strategy</t>
        </is>
      </c>
    </row>
    <row r="3" ht="18" customHeight="1">
      <c r="A3" s="3" t="inlineStr">
        <is>
          <t>03-Jan-2024</t>
        </is>
      </c>
      <c r="B3" s="3" t="inlineStr">
        <is>
          <t>09:32</t>
        </is>
      </c>
      <c r="C3" s="4" t="inlineStr">
        <is>
          <t>NIFTY</t>
        </is>
      </c>
      <c r="D3" s="5" t="inlineStr">
        <is>
          <t>Buy</t>
        </is>
      </c>
      <c r="E3" s="6" t="n">
        <v>21500</v>
      </c>
      <c r="F3" s="6" t="n">
        <v>21650</v>
      </c>
      <c r="G3" s="6" t="n">
        <v>21400</v>
      </c>
      <c r="H3" s="6" t="n">
        <v>21800</v>
      </c>
      <c r="I3" s="3" t="n">
        <v>50</v>
      </c>
      <c r="J3" s="7" t="n">
        <v>0.01</v>
      </c>
      <c r="K3" s="8" t="n">
        <v>7500</v>
      </c>
      <c r="L3" s="4" t="inlineStr">
        <is>
          <t>Strong breakout morning session</t>
        </is>
      </c>
      <c r="M3" s="4" t="inlineStr">
        <is>
          <t>Breakout</t>
        </is>
      </c>
    </row>
    <row r="4" ht="18" customHeight="1">
      <c r="A4" s="3" t="inlineStr">
        <is>
          <t>05-Jan-2024</t>
        </is>
      </c>
      <c r="B4" s="3" t="inlineStr">
        <is>
          <t>10:15</t>
        </is>
      </c>
      <c r="C4" s="4" t="inlineStr">
        <is>
          <t>BANKNIFTY</t>
        </is>
      </c>
      <c r="D4" s="9" t="inlineStr">
        <is>
          <t>Sell</t>
        </is>
      </c>
      <c r="E4" s="6" t="n">
        <v>48200</v>
      </c>
      <c r="F4" s="6" t="n">
        <v>47900</v>
      </c>
      <c r="G4" s="6" t="n">
        <v>48500</v>
      </c>
      <c r="H4" s="6" t="n">
        <v>47500</v>
      </c>
      <c r="I4" s="3" t="n">
        <v>25</v>
      </c>
      <c r="J4" s="7" t="n">
        <v>0.015</v>
      </c>
      <c r="K4" s="8" t="n">
        <v>7500</v>
      </c>
      <c r="L4" s="4" t="inlineStr">
        <is>
          <t>Resistance rejection</t>
        </is>
      </c>
      <c r="M4" s="4" t="inlineStr">
        <is>
          <t>Reversal</t>
        </is>
      </c>
    </row>
    <row r="5" ht="18" customHeight="1">
      <c r="A5" s="3" t="inlineStr">
        <is>
          <t>08-Jan-2024</t>
        </is>
      </c>
      <c r="B5" s="3" t="inlineStr">
        <is>
          <t>11:00</t>
        </is>
      </c>
      <c r="C5" s="4" t="inlineStr">
        <is>
          <t>RELIANCE</t>
        </is>
      </c>
      <c r="D5" s="5" t="inlineStr">
        <is>
          <t>Buy</t>
        </is>
      </c>
      <c r="E5" s="6" t="n">
        <v>2450</v>
      </c>
      <c r="F5" s="6" t="n">
        <v>2490</v>
      </c>
      <c r="G5" s="6" t="n">
        <v>2420</v>
      </c>
      <c r="H5" s="6" t="n">
        <v>2530</v>
      </c>
      <c r="I5" s="3" t="n">
        <v>100</v>
      </c>
      <c r="J5" s="7" t="n">
        <v>0.008</v>
      </c>
      <c r="K5" s="8" t="n">
        <v>4000</v>
      </c>
      <c r="L5" s="4" t="inlineStr">
        <is>
          <t>Trend continuation</t>
        </is>
      </c>
      <c r="M5" s="4" t="inlineStr">
        <is>
          <t>Trend Follow</t>
        </is>
      </c>
    </row>
    <row r="6" ht="18" customHeight="1">
      <c r="A6" s="10" t="inlineStr">
        <is>
          <t>10-Jan-2024</t>
        </is>
      </c>
      <c r="B6" s="10" t="inlineStr">
        <is>
          <t>09:45</t>
        </is>
      </c>
      <c r="C6" s="11" t="inlineStr">
        <is>
          <t>NIFTY</t>
        </is>
      </c>
      <c r="D6" s="12" t="inlineStr">
        <is>
          <t>Sell</t>
        </is>
      </c>
      <c r="E6" s="13" t="n">
        <v>21800</v>
      </c>
      <c r="F6" s="13" t="n">
        <v>21950</v>
      </c>
      <c r="G6" s="13" t="n">
        <v>22000</v>
      </c>
      <c r="H6" s="13" t="n">
        <v>21500</v>
      </c>
      <c r="I6" s="10" t="n">
        <v>-50</v>
      </c>
      <c r="J6" s="14" t="n">
        <v>0.012</v>
      </c>
      <c r="K6" s="15" t="n">
        <v>-7500</v>
      </c>
      <c r="L6" s="11" t="inlineStr">
        <is>
          <t>Stopped out false breakout</t>
        </is>
      </c>
      <c r="M6" s="11" t="inlineStr">
        <is>
          <t>Breakout</t>
        </is>
      </c>
    </row>
    <row r="7" ht="18" customHeight="1">
      <c r="A7" s="3" t="inlineStr">
        <is>
          <t>12-Jan-2024</t>
        </is>
      </c>
      <c r="B7" s="3" t="inlineStr">
        <is>
          <t>14:00</t>
        </is>
      </c>
      <c r="C7" s="4" t="inlineStr">
        <is>
          <t>TCS</t>
        </is>
      </c>
      <c r="D7" s="5" t="inlineStr">
        <is>
          <t>Buy</t>
        </is>
      </c>
      <c r="E7" s="6" t="n">
        <v>3800</v>
      </c>
      <c r="F7" s="6" t="n">
        <v>3870</v>
      </c>
      <c r="G7" s="6" t="n">
        <v>3750</v>
      </c>
      <c r="H7" s="6" t="n">
        <v>3950</v>
      </c>
      <c r="I7" s="3" t="n">
        <v>30</v>
      </c>
      <c r="J7" s="7" t="n">
        <v>0.01</v>
      </c>
      <c r="K7" s="8" t="n">
        <v>2100</v>
      </c>
      <c r="L7" s="4" t="inlineStr">
        <is>
          <t>Earnings run up</t>
        </is>
      </c>
      <c r="M7" s="4" t="inlineStr">
        <is>
          <t>Momentum</t>
        </is>
      </c>
    </row>
    <row r="8" ht="18" customHeight="1">
      <c r="A8" s="3" t="inlineStr">
        <is>
          <t>15-Jan-2024</t>
        </is>
      </c>
      <c r="B8" s="3" t="inlineStr">
        <is>
          <t>09:30</t>
        </is>
      </c>
      <c r="C8" s="4" t="inlineStr">
        <is>
          <t>BANKNIFTY</t>
        </is>
      </c>
      <c r="D8" s="5" t="inlineStr">
        <is>
          <t>Buy</t>
        </is>
      </c>
      <c r="E8" s="6" t="n">
        <v>47500</v>
      </c>
      <c r="F8" s="6" t="n">
        <v>47900</v>
      </c>
      <c r="G8" s="6" t="n">
        <v>47200</v>
      </c>
      <c r="H8" s="6" t="n">
        <v>48500</v>
      </c>
      <c r="I8" s="3" t="n">
        <v>20</v>
      </c>
      <c r="J8" s="7" t="n">
        <v>0.015</v>
      </c>
      <c r="K8" s="8" t="n">
        <v>8000</v>
      </c>
      <c r="L8" s="4" t="inlineStr">
        <is>
          <t>Gap up continuation</t>
        </is>
      </c>
      <c r="M8" s="4" t="inlineStr">
        <is>
          <t>Momentum</t>
        </is>
      </c>
    </row>
    <row r="9" ht="18" customHeight="1">
      <c r="A9" s="3" t="inlineStr">
        <is>
          <t>17-Jan-2024</t>
        </is>
      </c>
      <c r="B9" s="3" t="inlineStr">
        <is>
          <t>10:45</t>
        </is>
      </c>
      <c r="C9" s="4" t="inlineStr">
        <is>
          <t>NIFTY</t>
        </is>
      </c>
      <c r="D9" s="9" t="inlineStr">
        <is>
          <t>Sell</t>
        </is>
      </c>
      <c r="E9" s="6" t="n">
        <v>22000</v>
      </c>
      <c r="F9" s="6" t="n">
        <v>21850</v>
      </c>
      <c r="G9" s="6" t="n">
        <v>22150</v>
      </c>
      <c r="H9" s="6" t="n">
        <v>21700</v>
      </c>
      <c r="I9" s="3" t="n">
        <v>40</v>
      </c>
      <c r="J9" s="7" t="n">
        <v>0.01</v>
      </c>
      <c r="K9" s="8" t="n">
        <v>6000</v>
      </c>
      <c r="L9" s="4" t="inlineStr">
        <is>
          <t>Distribution pattern</t>
        </is>
      </c>
      <c r="M9" s="4" t="inlineStr">
        <is>
          <t>Reversal</t>
        </is>
      </c>
    </row>
    <row r="10" ht="18" customHeight="1">
      <c r="A10" s="10" t="inlineStr">
        <is>
          <t>19-Jan-2024</t>
        </is>
      </c>
      <c r="B10" s="10" t="inlineStr">
        <is>
          <t>11:30</t>
        </is>
      </c>
      <c r="C10" s="11" t="inlineStr">
        <is>
          <t>INFY</t>
        </is>
      </c>
      <c r="D10" s="16" t="inlineStr">
        <is>
          <t>Buy</t>
        </is>
      </c>
      <c r="E10" s="13" t="n">
        <v>1650</v>
      </c>
      <c r="F10" s="13" t="n">
        <v>1620</v>
      </c>
      <c r="G10" s="13" t="n">
        <v>1600</v>
      </c>
      <c r="H10" s="13" t="n">
        <v>1750</v>
      </c>
      <c r="I10" s="10" t="n">
        <v>-30</v>
      </c>
      <c r="J10" s="14" t="n">
        <v>0.008</v>
      </c>
      <c r="K10" s="15" t="n">
        <v>-900</v>
      </c>
      <c r="L10" s="11" t="inlineStr">
        <is>
          <t>Sector weakness</t>
        </is>
      </c>
      <c r="M10" s="11" t="inlineStr">
        <is>
          <t>Trend Follow</t>
        </is>
      </c>
    </row>
    <row r="11" ht="18" customHeight="1">
      <c r="A11" s="3" t="inlineStr">
        <is>
          <t>22-Jan-2024</t>
        </is>
      </c>
      <c r="B11" s="3" t="inlineStr">
        <is>
          <t>09:35</t>
        </is>
      </c>
      <c r="C11" s="4" t="inlineStr">
        <is>
          <t>NIFTY</t>
        </is>
      </c>
      <c r="D11" s="5" t="inlineStr">
        <is>
          <t>Buy</t>
        </is>
      </c>
      <c r="E11" s="6" t="n">
        <v>21700</v>
      </c>
      <c r="F11" s="6" t="n">
        <v>21900</v>
      </c>
      <c r="G11" s="6" t="n">
        <v>21550</v>
      </c>
      <c r="H11" s="6" t="n">
        <v>22100</v>
      </c>
      <c r="I11" s="3" t="n">
        <v>50</v>
      </c>
      <c r="J11" s="7" t="n">
        <v>0.012</v>
      </c>
      <c r="K11" s="8" t="n">
        <v>10000</v>
      </c>
      <c r="L11" s="4" t="inlineStr">
        <is>
          <t>Monthly support bounce</t>
        </is>
      </c>
      <c r="M11" s="4" t="inlineStr">
        <is>
          <t>Support/Resistance</t>
        </is>
      </c>
    </row>
    <row r="12" ht="18" customHeight="1">
      <c r="A12" s="3" t="inlineStr">
        <is>
          <t>24-Jan-2024</t>
        </is>
      </c>
      <c r="B12" s="3" t="inlineStr">
        <is>
          <t>13:00</t>
        </is>
      </c>
      <c r="C12" s="4" t="inlineStr">
        <is>
          <t>RELIANCE</t>
        </is>
      </c>
      <c r="D12" s="9" t="inlineStr">
        <is>
          <t>Sell</t>
        </is>
      </c>
      <c r="E12" s="6" t="n">
        <v>2510</v>
      </c>
      <c r="F12" s="6" t="n">
        <v>2480</v>
      </c>
      <c r="G12" s="6" t="n">
        <v>2550</v>
      </c>
      <c r="H12" s="6" t="n">
        <v>2430</v>
      </c>
      <c r="I12" s="3" t="n">
        <v>80</v>
      </c>
      <c r="J12" s="7" t="n">
        <v>0.01</v>
      </c>
      <c r="K12" s="8" t="n">
        <v>2400</v>
      </c>
      <c r="L12" s="4" t="inlineStr">
        <is>
          <t>Intraday reversal</t>
        </is>
      </c>
      <c r="M12" s="4" t="inlineStr">
        <is>
          <t>Reversal</t>
        </is>
      </c>
    </row>
    <row r="13" ht="18" customHeight="1">
      <c r="A13" s="3" t="inlineStr">
        <is>
          <t>01-Feb-2024</t>
        </is>
      </c>
      <c r="B13" s="3" t="inlineStr">
        <is>
          <t>09:32</t>
        </is>
      </c>
      <c r="C13" s="4" t="inlineStr">
        <is>
          <t>NIFTY</t>
        </is>
      </c>
      <c r="D13" s="5" t="inlineStr">
        <is>
          <t>Buy</t>
        </is>
      </c>
      <c r="E13" s="6" t="n">
        <v>22000</v>
      </c>
      <c r="F13" s="6" t="n">
        <v>22200</v>
      </c>
      <c r="G13" s="6" t="n">
        <v>21850</v>
      </c>
      <c r="H13" s="6" t="n">
        <v>22400</v>
      </c>
      <c r="I13" s="3" t="n">
        <v>50</v>
      </c>
      <c r="J13" s="7" t="n">
        <v>0.01</v>
      </c>
      <c r="K13" s="8" t="n">
        <v>10000</v>
      </c>
      <c r="L13" s="4" t="inlineStr">
        <is>
          <t>New month momentum</t>
        </is>
      </c>
      <c r="M13" s="4" t="inlineStr">
        <is>
          <t>Breakout</t>
        </is>
      </c>
    </row>
    <row r="14" ht="18" customHeight="1">
      <c r="A14" s="3" t="inlineStr">
        <is>
          <t>05-Feb-2024</t>
        </is>
      </c>
      <c r="B14" s="3" t="inlineStr">
        <is>
          <t>10:00</t>
        </is>
      </c>
      <c r="C14" s="4" t="inlineStr">
        <is>
          <t>BANKNIFTY</t>
        </is>
      </c>
      <c r="D14" s="9" t="inlineStr">
        <is>
          <t>Sell</t>
        </is>
      </c>
      <c r="E14" s="6" t="n">
        <v>48500</v>
      </c>
      <c r="F14" s="6" t="n">
        <v>48100</v>
      </c>
      <c r="G14" s="6" t="n">
        <v>48800</v>
      </c>
      <c r="H14" s="6" t="n">
        <v>47800</v>
      </c>
      <c r="I14" s="3" t="n">
        <v>30</v>
      </c>
      <c r="J14" s="7" t="n">
        <v>0.015</v>
      </c>
      <c r="K14" s="8" t="n">
        <v>12000</v>
      </c>
      <c r="L14" s="4" t="inlineStr">
        <is>
          <t>Failed breakout</t>
        </is>
      </c>
      <c r="M14" s="4" t="inlineStr">
        <is>
          <t>Reversal</t>
        </is>
      </c>
    </row>
    <row r="15" ht="18" customHeight="1">
      <c r="A15" s="3" t="inlineStr">
        <is>
          <t>07-Feb-2024</t>
        </is>
      </c>
      <c r="B15" s="3" t="inlineStr">
        <is>
          <t>11:15</t>
        </is>
      </c>
      <c r="C15" s="4" t="inlineStr">
        <is>
          <t>TCS</t>
        </is>
      </c>
      <c r="D15" s="5" t="inlineStr">
        <is>
          <t>Buy</t>
        </is>
      </c>
      <c r="E15" s="6" t="n">
        <v>3900</v>
      </c>
      <c r="F15" s="6" t="n">
        <v>3950</v>
      </c>
      <c r="G15" s="6" t="n">
        <v>3850</v>
      </c>
      <c r="H15" s="6" t="n">
        <v>4050</v>
      </c>
      <c r="I15" s="3" t="n">
        <v>40</v>
      </c>
      <c r="J15" s="7" t="n">
        <v>0.008</v>
      </c>
      <c r="K15" s="8" t="n">
        <v>2000</v>
      </c>
      <c r="L15" s="4" t="inlineStr">
        <is>
          <t>Pullback entry</t>
        </is>
      </c>
      <c r="M15" s="4" t="inlineStr">
        <is>
          <t>Trend Follow</t>
        </is>
      </c>
    </row>
    <row r="16" ht="18" customHeight="1">
      <c r="A16" s="17" t="inlineStr">
        <is>
          <t>09-Feb-2024</t>
        </is>
      </c>
      <c r="B16" s="17" t="inlineStr">
        <is>
          <t>09:45</t>
        </is>
      </c>
      <c r="C16" s="18" t="inlineStr">
        <is>
          <t>NIFTY</t>
        </is>
      </c>
      <c r="D16" s="19" t="inlineStr">
        <is>
          <t>Buy</t>
        </is>
      </c>
      <c r="E16" s="20" t="n">
        <v>22100</v>
      </c>
      <c r="F16" s="20" t="n">
        <v>21980</v>
      </c>
      <c r="G16" s="20" t="n">
        <v>21900</v>
      </c>
      <c r="H16" s="20" t="n">
        <v>-120</v>
      </c>
      <c r="I16" s="17" t="n">
        <v>1.2</v>
      </c>
      <c r="J16" s="21" t="n">
        <v>-60</v>
      </c>
      <c r="K16" s="22" t="n">
        <v>0</v>
      </c>
      <c r="L16" s="18" t="inlineStr">
        <is>
          <t>Breakout</t>
        </is>
      </c>
      <c r="M16" s="18" t="n">
        <v/>
      </c>
    </row>
    <row r="17" ht="18" customHeight="1">
      <c r="A17" s="3" t="inlineStr">
        <is>
          <t>12-Feb-2024</t>
        </is>
      </c>
      <c r="B17" s="3" t="inlineStr">
        <is>
          <t>14:30</t>
        </is>
      </c>
      <c r="C17" s="4" t="inlineStr">
        <is>
          <t>HDFC</t>
        </is>
      </c>
      <c r="D17" s="5" t="inlineStr">
        <is>
          <t>Buy</t>
        </is>
      </c>
      <c r="E17" s="6" t="n">
        <v>1700</v>
      </c>
      <c r="F17" s="6" t="n">
        <v>1740</v>
      </c>
      <c r="G17" s="6" t="n">
        <v>1670</v>
      </c>
      <c r="H17" s="6" t="n">
        <v>1800</v>
      </c>
      <c r="I17" s="3" t="n">
        <v>60</v>
      </c>
      <c r="J17" s="7" t="n">
        <v>0.01</v>
      </c>
      <c r="K17" s="8" t="n">
        <v>2400</v>
      </c>
      <c r="L17" s="4" t="inlineStr">
        <is>
          <t>Support bounce</t>
        </is>
      </c>
      <c r="M17" s="4" t="inlineStr">
        <is>
          <t>Support/Resistance</t>
        </is>
      </c>
    </row>
    <row r="18" ht="18" customHeight="1">
      <c r="A18" s="3" t="inlineStr">
        <is>
          <t>14-Feb-2024</t>
        </is>
      </c>
      <c r="B18" s="3" t="inlineStr">
        <is>
          <t>09:30</t>
        </is>
      </c>
      <c r="C18" s="4" t="inlineStr">
        <is>
          <t>BANKNIFTY</t>
        </is>
      </c>
      <c r="D18" s="5" t="inlineStr">
        <is>
          <t>Buy</t>
        </is>
      </c>
      <c r="E18" s="6" t="n">
        <v>48000</v>
      </c>
      <c r="F18" s="6" t="n">
        <v>48400</v>
      </c>
      <c r="G18" s="6" t="n">
        <v>47700</v>
      </c>
      <c r="H18" s="6" t="n">
        <v>49000</v>
      </c>
      <c r="I18" s="3" t="n">
        <v>25</v>
      </c>
      <c r="J18" s="7" t="n">
        <v>0.015</v>
      </c>
      <c r="K18" s="8" t="n">
        <v>10000</v>
      </c>
      <c r="L18" s="4" t="inlineStr">
        <is>
          <t>Valentine rally</t>
        </is>
      </c>
      <c r="M18" s="4" t="inlineStr">
        <is>
          <t>Momentum</t>
        </is>
      </c>
    </row>
    <row r="19" ht="18" customHeight="1">
      <c r="A19" s="3" t="inlineStr">
        <is>
          <t>16-Feb-2024</t>
        </is>
      </c>
      <c r="B19" s="3" t="inlineStr">
        <is>
          <t>10:00</t>
        </is>
      </c>
      <c r="C19" s="4" t="inlineStr">
        <is>
          <t>NIFTY</t>
        </is>
      </c>
      <c r="D19" s="9" t="inlineStr">
        <is>
          <t>Sell</t>
        </is>
      </c>
      <c r="E19" s="6" t="n">
        <v>22300</v>
      </c>
      <c r="F19" s="6" t="n">
        <v>22150</v>
      </c>
      <c r="G19" s="6" t="n">
        <v>22450</v>
      </c>
      <c r="H19" s="6" t="n">
        <v>22000</v>
      </c>
      <c r="I19" s="3" t="n">
        <v>45</v>
      </c>
      <c r="J19" s="7" t="n">
        <v>0.01</v>
      </c>
      <c r="K19" s="8" t="n">
        <v>6750</v>
      </c>
      <c r="L19" s="4" t="inlineStr">
        <is>
          <t>Overbought RSI</t>
        </is>
      </c>
      <c r="M19" s="4" t="inlineStr">
        <is>
          <t>Reversal</t>
        </is>
      </c>
    </row>
    <row r="20" ht="18" customHeight="1">
      <c r="A20" s="3" t="inlineStr">
        <is>
          <t>20-Feb-2024</t>
        </is>
      </c>
      <c r="B20" s="3" t="inlineStr">
        <is>
          <t>09:35</t>
        </is>
      </c>
      <c r="C20" s="4" t="inlineStr">
        <is>
          <t>RELIANCE</t>
        </is>
      </c>
      <c r="D20" s="5" t="inlineStr">
        <is>
          <t>Buy</t>
        </is>
      </c>
      <c r="E20" s="6" t="n">
        <v>2480</v>
      </c>
      <c r="F20" s="6" t="n">
        <v>2520</v>
      </c>
      <c r="G20" s="6" t="n">
        <v>2450</v>
      </c>
      <c r="H20" s="6" t="n">
        <v>2580</v>
      </c>
      <c r="I20" s="3" t="n">
        <v>70</v>
      </c>
      <c r="J20" s="7" t="n">
        <v>0.008</v>
      </c>
      <c r="K20" s="8" t="n">
        <v>2800</v>
      </c>
      <c r="L20" s="4" t="inlineStr">
        <is>
          <t>Sector rotation</t>
        </is>
      </c>
      <c r="M20" s="4" t="inlineStr">
        <is>
          <t>Trend Follow</t>
        </is>
      </c>
    </row>
    <row r="21" ht="18" customHeight="1">
      <c r="A21" s="3" t="inlineStr">
        <is>
          <t>22-Feb-2024</t>
        </is>
      </c>
      <c r="B21" s="3" t="inlineStr">
        <is>
          <t>11:00</t>
        </is>
      </c>
      <c r="C21" s="4" t="inlineStr">
        <is>
          <t>NIFTY</t>
        </is>
      </c>
      <c r="D21" s="5" t="inlineStr">
        <is>
          <t>Buy</t>
        </is>
      </c>
      <c r="E21" s="6" t="n">
        <v>22000</v>
      </c>
      <c r="F21" s="6" t="n">
        <v>22250</v>
      </c>
      <c r="G21" s="6" t="n">
        <v>21850</v>
      </c>
      <c r="H21" s="6" t="n">
        <v>22500</v>
      </c>
      <c r="I21" s="3" t="n">
        <v>50</v>
      </c>
      <c r="J21" s="7" t="n">
        <v>0.012</v>
      </c>
      <c r="K21" s="8" t="n">
        <v>12500</v>
      </c>
      <c r="L21" s="4" t="inlineStr">
        <is>
          <t>Budget rally</t>
        </is>
      </c>
      <c r="M21" s="4" t="inlineStr">
        <is>
          <t>Momentum</t>
        </is>
      </c>
    </row>
    <row r="22" ht="18" customHeight="1">
      <c r="A22" s="3" t="inlineStr">
        <is>
          <t>27-Feb-2024</t>
        </is>
      </c>
      <c r="B22" s="3" t="inlineStr">
        <is>
          <t>13:00</t>
        </is>
      </c>
      <c r="C22" s="4" t="inlineStr">
        <is>
          <t>INFY</t>
        </is>
      </c>
      <c r="D22" s="9" t="inlineStr">
        <is>
          <t>Sell</t>
        </is>
      </c>
      <c r="E22" s="6" t="n">
        <v>1680</v>
      </c>
      <c r="F22" s="6" t="n">
        <v>1650</v>
      </c>
      <c r="G22" s="6" t="n">
        <v>1710</v>
      </c>
      <c r="H22" s="6" t="n">
        <v>1600</v>
      </c>
      <c r="I22" s="3" t="n">
        <v>40</v>
      </c>
      <c r="J22" s="7" t="n">
        <v>0.01</v>
      </c>
      <c r="K22" s="8" t="n">
        <v>1200</v>
      </c>
      <c r="L22" s="4" t="inlineStr">
        <is>
          <t>Earnings pressure</t>
        </is>
      </c>
      <c r="M22" s="4" t="inlineStr">
        <is>
          <t>Reversal</t>
        </is>
      </c>
    </row>
    <row r="23" ht="18" customHeight="1">
      <c r="A23" s="3" t="inlineStr">
        <is>
          <t>01-Mar-2024</t>
        </is>
      </c>
      <c r="B23" s="3" t="inlineStr">
        <is>
          <t>09:32</t>
        </is>
      </c>
      <c r="C23" s="4" t="inlineStr">
        <is>
          <t>NIFTY</t>
        </is>
      </c>
      <c r="D23" s="5" t="inlineStr">
        <is>
          <t>Buy</t>
        </is>
      </c>
      <c r="E23" s="6" t="n">
        <v>22200</v>
      </c>
      <c r="F23" s="6" t="n">
        <v>22400</v>
      </c>
      <c r="G23" s="6" t="n">
        <v>22050</v>
      </c>
      <c r="H23" s="6" t="n">
        <v>22700</v>
      </c>
      <c r="I23" s="3" t="n">
        <v>50</v>
      </c>
      <c r="J23" s="7" t="n">
        <v>0.01</v>
      </c>
      <c r="K23" s="8" t="n">
        <v>10000</v>
      </c>
      <c r="L23" s="4" t="inlineStr">
        <is>
          <t>Month start breakout</t>
        </is>
      </c>
      <c r="M23" s="4" t="inlineStr">
        <is>
          <t>Breakout</t>
        </is>
      </c>
    </row>
    <row r="24" ht="18" customHeight="1">
      <c r="A24" s="3" t="inlineStr">
        <is>
          <t>04-Mar-2024</t>
        </is>
      </c>
      <c r="B24" s="3" t="inlineStr">
        <is>
          <t>10:15</t>
        </is>
      </c>
      <c r="C24" s="4" t="inlineStr">
        <is>
          <t>BANKNIFTY</t>
        </is>
      </c>
      <c r="D24" s="5" t="inlineStr">
        <is>
          <t>Buy</t>
        </is>
      </c>
      <c r="E24" s="6" t="n">
        <v>48200</v>
      </c>
      <c r="F24" s="6" t="n">
        <v>48700</v>
      </c>
      <c r="G24" s="6" t="n">
        <v>47900</v>
      </c>
      <c r="H24" s="6" t="n">
        <v>49300</v>
      </c>
      <c r="I24" s="3" t="n">
        <v>30</v>
      </c>
      <c r="J24" s="7" t="n">
        <v>0.015</v>
      </c>
      <c r="K24" s="8" t="n">
        <v>15000</v>
      </c>
      <c r="L24" s="4" t="inlineStr">
        <is>
          <t>Strong trend day</t>
        </is>
      </c>
      <c r="M24" s="4" t="inlineStr">
        <is>
          <t>Trend Follow</t>
        </is>
      </c>
    </row>
    <row r="25" ht="18" customHeight="1">
      <c r="A25" s="10" t="inlineStr">
        <is>
          <t>06-Mar-2024</t>
        </is>
      </c>
      <c r="B25" s="10" t="inlineStr">
        <is>
          <t>09:45</t>
        </is>
      </c>
      <c r="C25" s="11" t="inlineStr">
        <is>
          <t>TCS</t>
        </is>
      </c>
      <c r="D25" s="12" t="inlineStr">
        <is>
          <t>Sell</t>
        </is>
      </c>
      <c r="E25" s="13" t="n">
        <v>4000</v>
      </c>
      <c r="F25" s="13" t="n">
        <v>3950</v>
      </c>
      <c r="G25" s="13" t="n">
        <v>4100</v>
      </c>
      <c r="H25" s="13" t="n">
        <v>3850</v>
      </c>
      <c r="I25" s="10" t="n">
        <v>35</v>
      </c>
      <c r="J25" s="14" t="n">
        <v>0.008</v>
      </c>
      <c r="K25" s="15" t="n">
        <v>-1750</v>
      </c>
      <c r="L25" s="11" t="inlineStr">
        <is>
          <t>Stopped out</t>
        </is>
      </c>
      <c r="M25" s="11" t="inlineStr">
        <is>
          <t>Reversal</t>
        </is>
      </c>
    </row>
    <row r="26" ht="18" customHeight="1">
      <c r="A26" s="3" t="inlineStr">
        <is>
          <t>08-Mar-2024</t>
        </is>
      </c>
      <c r="B26" s="3" t="inlineStr">
        <is>
          <t>11:30</t>
        </is>
      </c>
      <c r="C26" s="4" t="inlineStr">
        <is>
          <t>NIFTY</t>
        </is>
      </c>
      <c r="D26" s="5" t="inlineStr">
        <is>
          <t>Buy</t>
        </is>
      </c>
      <c r="E26" s="6" t="n">
        <v>22350</v>
      </c>
      <c r="F26" s="6" t="n">
        <v>22500</v>
      </c>
      <c r="G26" s="6" t="n">
        <v>22200</v>
      </c>
      <c r="H26" s="6" t="n">
        <v>22700</v>
      </c>
      <c r="I26" s="3" t="n">
        <v>45</v>
      </c>
      <c r="J26" s="7" t="n">
        <v>0.01</v>
      </c>
      <c r="K26" s="8" t="n">
        <v>6750</v>
      </c>
      <c r="L26" s="4" t="inlineStr">
        <is>
          <t>Continuation</t>
        </is>
      </c>
      <c r="M26" s="4" t="inlineStr">
        <is>
          <t>Trend Follow</t>
        </is>
      </c>
    </row>
    <row r="27" ht="18" customHeight="1">
      <c r="A27" s="3" t="inlineStr">
        <is>
          <t>11-Mar-2024</t>
        </is>
      </c>
      <c r="B27" s="3" t="inlineStr">
        <is>
          <t>14:00</t>
        </is>
      </c>
      <c r="C27" s="4" t="inlineStr">
        <is>
          <t>HDFC</t>
        </is>
      </c>
      <c r="D27" s="9" t="inlineStr">
        <is>
          <t>Sell</t>
        </is>
      </c>
      <c r="E27" s="6" t="n">
        <v>1750</v>
      </c>
      <c r="F27" s="6" t="n">
        <v>1720</v>
      </c>
      <c r="G27" s="6" t="n">
        <v>1780</v>
      </c>
      <c r="H27" s="6" t="n">
        <v>1680</v>
      </c>
      <c r="I27" s="3" t="n">
        <v>50</v>
      </c>
      <c r="J27" s="7" t="n">
        <v>0.01</v>
      </c>
      <c r="K27" s="8" t="n">
        <v>1500</v>
      </c>
      <c r="L27" s="4" t="inlineStr">
        <is>
          <t>Resistance zone</t>
        </is>
      </c>
      <c r="M27" s="4" t="inlineStr">
        <is>
          <t>Support/Resistance</t>
        </is>
      </c>
    </row>
    <row r="28" ht="22" customHeight="1">
      <c r="A28" s="23" t="inlineStr">
        <is>
          <t>TOTALS</t>
        </is>
      </c>
      <c r="K28" s="24">
        <f>SUM(K3:K27)</f>
        <v/>
      </c>
      <c r="L28" s="25" t="n"/>
      <c r="M28" s="25" t="n"/>
    </row>
  </sheetData>
  <autoFilter ref="A2:M27"/>
  <mergeCells count="2">
    <mergeCell ref="A28:J28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4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36" customHeight="1">
      <c r="A1" s="1" t="inlineStr">
        <is>
          <t>📈 PERFORMANCE SUMMARY DASHBOARD</t>
        </is>
      </c>
    </row>
    <row r="3" ht="24" customHeight="1">
      <c r="A3" s="26" t="inlineStr">
        <is>
          <t>KEY PERFORMANCE INDICATORS</t>
        </is>
      </c>
    </row>
    <row r="4" ht="18" customHeight="1">
      <c r="A4" s="27" t="inlineStr">
        <is>
          <t>Total Trades</t>
        </is>
      </c>
      <c r="B4" s="27" t="inlineStr">
        <is>
          <t>Winning Trades</t>
        </is>
      </c>
      <c r="C4" s="27" t="inlineStr">
        <is>
          <t>Losing Trades</t>
        </is>
      </c>
      <c r="D4" s="27" t="inlineStr">
        <is>
          <t>Win Rate</t>
        </is>
      </c>
      <c r="E4" s="27" t="inlineStr">
        <is>
          <t>Total P&amp;L</t>
        </is>
      </c>
      <c r="F4" s="27" t="inlineStr">
        <is>
          <t>Avg Win</t>
        </is>
      </c>
      <c r="G4" s="27" t="inlineStr">
        <is>
          <t>Avg Loss</t>
        </is>
      </c>
      <c r="H4" s="27" t="inlineStr">
        <is>
          <t>Risk:Reward</t>
        </is>
      </c>
      <c r="I4" s="27" t="inlineStr">
        <is>
          <t>Max Drawdown</t>
        </is>
      </c>
      <c r="J4" s="27" t="inlineStr">
        <is>
          <t>Profit Factor</t>
        </is>
      </c>
      <c r="K4" s="27" t="inlineStr">
        <is>
          <t>Best Trade</t>
        </is>
      </c>
      <c r="L4" s="27" t="inlineStr">
        <is>
          <t>Worst Trade</t>
        </is>
      </c>
    </row>
    <row r="5" ht="26" customHeight="1">
      <c r="A5" s="28" t="n">
        <v>25</v>
      </c>
      <c r="B5" s="28" t="n">
        <v>21</v>
      </c>
      <c r="C5" s="28" t="n">
        <v>4</v>
      </c>
      <c r="D5" s="29" t="n">
        <v>0.84</v>
      </c>
      <c r="E5" s="30" t="n">
        <v>130250</v>
      </c>
      <c r="F5" s="30" t="n">
        <v>6685.714285714285</v>
      </c>
      <c r="G5" s="30" t="n">
        <v>-3383.333333333333</v>
      </c>
      <c r="H5" s="31" t="n">
        <v>1.976073187895848</v>
      </c>
      <c r="I5" s="30" t="n">
        <v>-7500</v>
      </c>
      <c r="J5" s="31" t="n">
        <v>13.83251231527094</v>
      </c>
      <c r="K5" s="30" t="n">
        <v>15000</v>
      </c>
      <c r="L5" s="30" t="n">
        <v>-7500</v>
      </c>
    </row>
    <row r="8" ht="24" customHeight="1">
      <c r="A8" s="32" t="inlineStr">
        <is>
          <t>STRATEGY BREAKDOWN</t>
        </is>
      </c>
      <c r="H8" s="33" t="inlineStr">
        <is>
          <t>ASSET BREAKDOWN</t>
        </is>
      </c>
    </row>
    <row r="9" ht="22" customHeight="1">
      <c r="A9" s="23" t="inlineStr">
        <is>
          <t>Strategy</t>
        </is>
      </c>
      <c r="B9" s="23" t="inlineStr">
        <is>
          <t>Trades</t>
        </is>
      </c>
      <c r="C9" s="23" t="inlineStr">
        <is>
          <t>Wins</t>
        </is>
      </c>
      <c r="D9" s="23" t="inlineStr">
        <is>
          <t>Losses</t>
        </is>
      </c>
      <c r="E9" s="23" t="inlineStr">
        <is>
          <t>Win Rate</t>
        </is>
      </c>
      <c r="F9" s="23" t="inlineStr">
        <is>
          <t>Total P&amp;L</t>
        </is>
      </c>
      <c r="H9" s="23" t="inlineStr">
        <is>
          <t>Asset</t>
        </is>
      </c>
      <c r="I9" s="23" t="inlineStr">
        <is>
          <t>Trades</t>
        </is>
      </c>
      <c r="J9" s="23" t="inlineStr">
        <is>
          <t>Win Rate</t>
        </is>
      </c>
      <c r="K9" s="23" t="inlineStr">
        <is>
          <t>Total P&amp;L</t>
        </is>
      </c>
      <c r="L9" s="23" t="inlineStr">
        <is>
          <t>Avg P&amp;L</t>
        </is>
      </c>
    </row>
    <row r="10" ht="18" customHeight="1">
      <c r="A10" s="34" t="inlineStr">
        <is>
          <t>Reversal</t>
        </is>
      </c>
      <c r="B10" s="35" t="n">
        <v>7</v>
      </c>
      <c r="C10" s="35" t="n">
        <v>6</v>
      </c>
      <c r="D10" s="35" t="n">
        <v>1</v>
      </c>
      <c r="E10" s="36" t="n">
        <v>0.8571428571428571</v>
      </c>
      <c r="F10" s="37" t="n">
        <v>34100</v>
      </c>
      <c r="H10" s="35" t="inlineStr">
        <is>
          <t>NIFTY</t>
        </is>
      </c>
      <c r="I10" s="35" t="n">
        <v>10</v>
      </c>
      <c r="J10" s="36" t="n">
        <v>0.8</v>
      </c>
      <c r="K10" s="37" t="n">
        <v>62000</v>
      </c>
      <c r="L10" s="38" t="n">
        <v>6200</v>
      </c>
    </row>
    <row r="11" ht="18" customHeight="1">
      <c r="A11" s="18" t="inlineStr">
        <is>
          <t>Momentum</t>
        </is>
      </c>
      <c r="B11" s="17" t="n">
        <v>4</v>
      </c>
      <c r="C11" s="17" t="n">
        <v>4</v>
      </c>
      <c r="D11" s="17" t="n">
        <v>0</v>
      </c>
      <c r="E11" s="21" t="n">
        <v>1</v>
      </c>
      <c r="F11" s="39" t="n">
        <v>32600</v>
      </c>
      <c r="H11" s="17" t="inlineStr">
        <is>
          <t>BANKNIFTY</t>
        </is>
      </c>
      <c r="I11" s="17" t="n">
        <v>5</v>
      </c>
      <c r="J11" s="21" t="n">
        <v>1</v>
      </c>
      <c r="K11" s="39" t="n">
        <v>52500</v>
      </c>
      <c r="L11" s="40" t="n">
        <v>10500</v>
      </c>
    </row>
    <row r="12" ht="18" customHeight="1">
      <c r="A12" s="34" t="inlineStr">
        <is>
          <t>Trend Follow</t>
        </is>
      </c>
      <c r="B12" s="35" t="n">
        <v>6</v>
      </c>
      <c r="C12" s="35" t="n">
        <v>5</v>
      </c>
      <c r="D12" s="35" t="n">
        <v>1</v>
      </c>
      <c r="E12" s="36" t="n">
        <v>0.8333333333333334</v>
      </c>
      <c r="F12" s="37" t="n">
        <v>29650</v>
      </c>
      <c r="H12" s="35" t="inlineStr">
        <is>
          <t>RELIANCE</t>
        </is>
      </c>
      <c r="I12" s="35" t="n">
        <v>3</v>
      </c>
      <c r="J12" s="36" t="n">
        <v>1</v>
      </c>
      <c r="K12" s="37" t="n">
        <v>9200</v>
      </c>
      <c r="L12" s="38" t="n">
        <v>3066.666666666667</v>
      </c>
    </row>
    <row r="13" ht="18" customHeight="1">
      <c r="A13" s="18" t="inlineStr">
        <is>
          <t>Breakout</t>
        </is>
      </c>
      <c r="B13" s="17" t="n">
        <v>4</v>
      </c>
      <c r="C13" s="17" t="n">
        <v>3</v>
      </c>
      <c r="D13" s="17" t="n">
        <v>1</v>
      </c>
      <c r="E13" s="21" t="n">
        <v>0.75</v>
      </c>
      <c r="F13" s="39" t="n">
        <v>20000</v>
      </c>
      <c r="H13" s="17" t="inlineStr">
        <is>
          <t>HDFC</t>
        </is>
      </c>
      <c r="I13" s="17" t="n">
        <v>2</v>
      </c>
      <c r="J13" s="21" t="n">
        <v>1</v>
      </c>
      <c r="K13" s="39" t="n">
        <v>3900</v>
      </c>
      <c r="L13" s="40" t="n">
        <v>1950</v>
      </c>
    </row>
    <row r="14" ht="18" customHeight="1">
      <c r="A14" s="34" t="inlineStr">
        <is>
          <t>Support/Resistance</t>
        </is>
      </c>
      <c r="B14" s="35" t="n">
        <v>3</v>
      </c>
      <c r="C14" s="35" t="n">
        <v>3</v>
      </c>
      <c r="D14" s="35" t="n">
        <v>0</v>
      </c>
      <c r="E14" s="36" t="n">
        <v>1</v>
      </c>
      <c r="F14" s="37" t="n">
        <v>13900</v>
      </c>
      <c r="H14" s="35" t="inlineStr">
        <is>
          <t>TCS</t>
        </is>
      </c>
      <c r="I14" s="35" t="n">
        <v>3</v>
      </c>
      <c r="J14" s="36" t="n">
        <v>0.6666666666666666</v>
      </c>
      <c r="K14" s="37" t="n">
        <v>2350</v>
      </c>
      <c r="L14" s="38" t="n">
        <v>783.3333333333334</v>
      </c>
    </row>
    <row r="15" ht="18" customHeight="1">
      <c r="H15" s="17" t="inlineStr">
        <is>
          <t>INFY</t>
        </is>
      </c>
      <c r="I15" s="17" t="n">
        <v>2</v>
      </c>
      <c r="J15" s="21" t="n">
        <v>0.5</v>
      </c>
      <c r="K15" s="39" t="n">
        <v>300</v>
      </c>
      <c r="L15" s="40" t="n">
        <v>150</v>
      </c>
    </row>
    <row r="22" ht="24" customHeight="1">
      <c r="A22" s="26" t="inlineStr">
        <is>
          <t>EQUITY CURVE DATA</t>
        </is>
      </c>
    </row>
    <row r="23">
      <c r="A23" s="23" t="inlineStr">
        <is>
          <t>Trade #</t>
        </is>
      </c>
      <c r="B23" s="23" t="inlineStr">
        <is>
          <t>Date</t>
        </is>
      </c>
      <c r="C23" s="23" t="inlineStr">
        <is>
          <t>Asset</t>
        </is>
      </c>
      <c r="D23" s="23" t="inlineStr">
        <is>
          <t>P&amp;L</t>
        </is>
      </c>
      <c r="E23" s="23" t="inlineStr">
        <is>
          <t>Cumulative P&amp;L</t>
        </is>
      </c>
      <c r="F23" s="23" t="inlineStr">
        <is>
          <t>Drawdown</t>
        </is>
      </c>
    </row>
    <row r="24" ht="18" customHeight="1">
      <c r="A24" s="35" t="n">
        <v>1</v>
      </c>
      <c r="B24" s="35" t="inlineStr">
        <is>
          <t>03-Jan</t>
        </is>
      </c>
      <c r="C24" s="35" t="inlineStr">
        <is>
          <t>NIFTY</t>
        </is>
      </c>
      <c r="D24" s="38" t="n">
        <v>7500</v>
      </c>
      <c r="E24" s="38" t="n">
        <v>7500</v>
      </c>
      <c r="F24" s="38" t="n">
        <v>0</v>
      </c>
    </row>
    <row r="25" ht="18" customHeight="1">
      <c r="A25" s="17" t="n">
        <v>2</v>
      </c>
      <c r="B25" s="17" t="inlineStr">
        <is>
          <t>05-Jan</t>
        </is>
      </c>
      <c r="C25" s="17" t="inlineStr">
        <is>
          <t>BANKNIFTY</t>
        </is>
      </c>
      <c r="D25" s="40" t="n">
        <v>7500</v>
      </c>
      <c r="E25" s="40" t="n">
        <v>15000</v>
      </c>
      <c r="F25" s="40" t="n">
        <v>0</v>
      </c>
    </row>
    <row r="26" ht="18" customHeight="1">
      <c r="A26" s="35" t="n">
        <v>3</v>
      </c>
      <c r="B26" s="35" t="inlineStr">
        <is>
          <t>08-Jan</t>
        </is>
      </c>
      <c r="C26" s="35" t="inlineStr">
        <is>
          <t>RELIANCE</t>
        </is>
      </c>
      <c r="D26" s="38" t="n">
        <v>4000</v>
      </c>
      <c r="E26" s="38" t="n">
        <v>19000</v>
      </c>
      <c r="F26" s="38" t="n">
        <v>0</v>
      </c>
    </row>
    <row r="27" ht="18" customHeight="1">
      <c r="A27" s="17" t="n">
        <v>4</v>
      </c>
      <c r="B27" s="17" t="inlineStr">
        <is>
          <t>10-Jan</t>
        </is>
      </c>
      <c r="C27" s="17" t="inlineStr">
        <is>
          <t>NIFTY</t>
        </is>
      </c>
      <c r="D27" s="40" t="n">
        <v>-7500</v>
      </c>
      <c r="E27" s="40" t="n">
        <v>11500</v>
      </c>
      <c r="F27" s="40" t="n">
        <v>-7500</v>
      </c>
    </row>
    <row r="28" ht="18" customHeight="1">
      <c r="A28" s="35" t="n">
        <v>5</v>
      </c>
      <c r="B28" s="35" t="inlineStr">
        <is>
          <t>12-Jan</t>
        </is>
      </c>
      <c r="C28" s="35" t="inlineStr">
        <is>
          <t>TCS</t>
        </is>
      </c>
      <c r="D28" s="38" t="n">
        <v>2100</v>
      </c>
      <c r="E28" s="38" t="n">
        <v>13600</v>
      </c>
      <c r="F28" s="38" t="n">
        <v>-5400</v>
      </c>
    </row>
    <row r="29" ht="18" customHeight="1">
      <c r="A29" s="17" t="n">
        <v>6</v>
      </c>
      <c r="B29" s="17" t="inlineStr">
        <is>
          <t>15-Jan</t>
        </is>
      </c>
      <c r="C29" s="17" t="inlineStr">
        <is>
          <t>BANKNIFTY</t>
        </is>
      </c>
      <c r="D29" s="40" t="n">
        <v>8000</v>
      </c>
      <c r="E29" s="40" t="n">
        <v>21600</v>
      </c>
      <c r="F29" s="40" t="n">
        <v>0</v>
      </c>
    </row>
    <row r="30" ht="18" customHeight="1">
      <c r="A30" s="35" t="n">
        <v>7</v>
      </c>
      <c r="B30" s="35" t="inlineStr">
        <is>
          <t>17-Jan</t>
        </is>
      </c>
      <c r="C30" s="35" t="inlineStr">
        <is>
          <t>NIFTY</t>
        </is>
      </c>
      <c r="D30" s="38" t="n">
        <v>6000</v>
      </c>
      <c r="E30" s="38" t="n">
        <v>27600</v>
      </c>
      <c r="F30" s="38" t="n">
        <v>0</v>
      </c>
    </row>
    <row r="31" ht="18" customHeight="1">
      <c r="A31" s="17" t="n">
        <v>8</v>
      </c>
      <c r="B31" s="17" t="inlineStr">
        <is>
          <t>19-Jan</t>
        </is>
      </c>
      <c r="C31" s="17" t="inlineStr">
        <is>
          <t>INFY</t>
        </is>
      </c>
      <c r="D31" s="40" t="n">
        <v>-900</v>
      </c>
      <c r="E31" s="40" t="n">
        <v>26700</v>
      </c>
      <c r="F31" s="40" t="n">
        <v>-900</v>
      </c>
    </row>
    <row r="32" ht="18" customHeight="1">
      <c r="A32" s="35" t="n">
        <v>9</v>
      </c>
      <c r="B32" s="35" t="inlineStr">
        <is>
          <t>22-Jan</t>
        </is>
      </c>
      <c r="C32" s="35" t="inlineStr">
        <is>
          <t>NIFTY</t>
        </is>
      </c>
      <c r="D32" s="38" t="n">
        <v>10000</v>
      </c>
      <c r="E32" s="38" t="n">
        <v>36700</v>
      </c>
      <c r="F32" s="38" t="n">
        <v>0</v>
      </c>
    </row>
    <row r="33" ht="18" customHeight="1">
      <c r="A33" s="17" t="n">
        <v>10</v>
      </c>
      <c r="B33" s="17" t="inlineStr">
        <is>
          <t>24-Jan</t>
        </is>
      </c>
      <c r="C33" s="17" t="inlineStr">
        <is>
          <t>RELIANCE</t>
        </is>
      </c>
      <c r="D33" s="40" t="n">
        <v>2400</v>
      </c>
      <c r="E33" s="40" t="n">
        <v>39100</v>
      </c>
      <c r="F33" s="40" t="n">
        <v>0</v>
      </c>
    </row>
    <row r="34" ht="18" customHeight="1">
      <c r="A34" s="35" t="n">
        <v>11</v>
      </c>
      <c r="B34" s="35" t="inlineStr">
        <is>
          <t>01-Feb</t>
        </is>
      </c>
      <c r="C34" s="35" t="inlineStr">
        <is>
          <t>NIFTY</t>
        </is>
      </c>
      <c r="D34" s="38" t="n">
        <v>10000</v>
      </c>
      <c r="E34" s="38" t="n">
        <v>49100</v>
      </c>
      <c r="F34" s="38" t="n">
        <v>0</v>
      </c>
    </row>
    <row r="35" ht="18" customHeight="1">
      <c r="A35" s="17" t="n">
        <v>12</v>
      </c>
      <c r="B35" s="17" t="inlineStr">
        <is>
          <t>05-Feb</t>
        </is>
      </c>
      <c r="C35" s="17" t="inlineStr">
        <is>
          <t>BANKNIFTY</t>
        </is>
      </c>
      <c r="D35" s="40" t="n">
        <v>12000</v>
      </c>
      <c r="E35" s="40" t="n">
        <v>61100</v>
      </c>
      <c r="F35" s="40" t="n">
        <v>0</v>
      </c>
    </row>
    <row r="36" ht="18" customHeight="1">
      <c r="A36" s="35" t="n">
        <v>13</v>
      </c>
      <c r="B36" s="35" t="inlineStr">
        <is>
          <t>07-Feb</t>
        </is>
      </c>
      <c r="C36" s="35" t="inlineStr">
        <is>
          <t>TCS</t>
        </is>
      </c>
      <c r="D36" s="38" t="n">
        <v>2000</v>
      </c>
      <c r="E36" s="38" t="n">
        <v>63100</v>
      </c>
      <c r="F36" s="38" t="n">
        <v>0</v>
      </c>
    </row>
    <row r="37" ht="18" customHeight="1">
      <c r="A37" s="17" t="n">
        <v>14</v>
      </c>
      <c r="B37" s="17" t="inlineStr">
        <is>
          <t>09-Feb</t>
        </is>
      </c>
      <c r="C37" s="17" t="inlineStr">
        <is>
          <t>NIFTY</t>
        </is>
      </c>
      <c r="D37" s="40" t="n">
        <v>0</v>
      </c>
      <c r="E37" s="40" t="n">
        <v>63100</v>
      </c>
      <c r="F37" s="40" t="n">
        <v>0</v>
      </c>
    </row>
    <row r="38" ht="18" customHeight="1">
      <c r="A38" s="35" t="n">
        <v>15</v>
      </c>
      <c r="B38" s="35" t="inlineStr">
        <is>
          <t>12-Feb</t>
        </is>
      </c>
      <c r="C38" s="35" t="inlineStr">
        <is>
          <t>HDFC</t>
        </is>
      </c>
      <c r="D38" s="38" t="n">
        <v>2400</v>
      </c>
      <c r="E38" s="38" t="n">
        <v>65500</v>
      </c>
      <c r="F38" s="38" t="n">
        <v>0</v>
      </c>
    </row>
    <row r="39" ht="18" customHeight="1">
      <c r="A39" s="17" t="n">
        <v>16</v>
      </c>
      <c r="B39" s="17" t="inlineStr">
        <is>
          <t>14-Feb</t>
        </is>
      </c>
      <c r="C39" s="17" t="inlineStr">
        <is>
          <t>BANKNIFTY</t>
        </is>
      </c>
      <c r="D39" s="40" t="n">
        <v>10000</v>
      </c>
      <c r="E39" s="40" t="n">
        <v>75500</v>
      </c>
      <c r="F39" s="40" t="n">
        <v>0</v>
      </c>
    </row>
    <row r="40" ht="18" customHeight="1">
      <c r="A40" s="35" t="n">
        <v>17</v>
      </c>
      <c r="B40" s="35" t="inlineStr">
        <is>
          <t>16-Feb</t>
        </is>
      </c>
      <c r="C40" s="35" t="inlineStr">
        <is>
          <t>NIFTY</t>
        </is>
      </c>
      <c r="D40" s="38" t="n">
        <v>6750</v>
      </c>
      <c r="E40" s="38" t="n">
        <v>82250</v>
      </c>
      <c r="F40" s="38" t="n">
        <v>0</v>
      </c>
    </row>
    <row r="41" ht="18" customHeight="1">
      <c r="A41" s="17" t="n">
        <v>18</v>
      </c>
      <c r="B41" s="17" t="inlineStr">
        <is>
          <t>20-Feb</t>
        </is>
      </c>
      <c r="C41" s="17" t="inlineStr">
        <is>
          <t>RELIANCE</t>
        </is>
      </c>
      <c r="D41" s="40" t="n">
        <v>2800</v>
      </c>
      <c r="E41" s="40" t="n">
        <v>85050</v>
      </c>
      <c r="F41" s="40" t="n">
        <v>0</v>
      </c>
    </row>
    <row r="42" ht="18" customHeight="1">
      <c r="A42" s="35" t="n">
        <v>19</v>
      </c>
      <c r="B42" s="35" t="inlineStr">
        <is>
          <t>22-Feb</t>
        </is>
      </c>
      <c r="C42" s="35" t="inlineStr">
        <is>
          <t>NIFTY</t>
        </is>
      </c>
      <c r="D42" s="38" t="n">
        <v>12500</v>
      </c>
      <c r="E42" s="38" t="n">
        <v>97550</v>
      </c>
      <c r="F42" s="38" t="n">
        <v>0</v>
      </c>
    </row>
    <row r="43" ht="18" customHeight="1">
      <c r="A43" s="17" t="n">
        <v>20</v>
      </c>
      <c r="B43" s="17" t="inlineStr">
        <is>
          <t>27-Feb</t>
        </is>
      </c>
      <c r="C43" s="17" t="inlineStr">
        <is>
          <t>INFY</t>
        </is>
      </c>
      <c r="D43" s="40" t="n">
        <v>1200</v>
      </c>
      <c r="E43" s="40" t="n">
        <v>98750</v>
      </c>
      <c r="F43" s="40" t="n">
        <v>0</v>
      </c>
    </row>
    <row r="44" ht="18" customHeight="1">
      <c r="A44" s="35" t="n">
        <v>21</v>
      </c>
      <c r="B44" s="35" t="inlineStr">
        <is>
          <t>01-Mar</t>
        </is>
      </c>
      <c r="C44" s="35" t="inlineStr">
        <is>
          <t>NIFTY</t>
        </is>
      </c>
      <c r="D44" s="38" t="n">
        <v>10000</v>
      </c>
      <c r="E44" s="38" t="n">
        <v>108750</v>
      </c>
      <c r="F44" s="38" t="n">
        <v>0</v>
      </c>
    </row>
    <row r="45" ht="18" customHeight="1">
      <c r="A45" s="17" t="n">
        <v>22</v>
      </c>
      <c r="B45" s="17" t="inlineStr">
        <is>
          <t>04-Mar</t>
        </is>
      </c>
      <c r="C45" s="17" t="inlineStr">
        <is>
          <t>BANKNIFTY</t>
        </is>
      </c>
      <c r="D45" s="40" t="n">
        <v>15000</v>
      </c>
      <c r="E45" s="40" t="n">
        <v>123750</v>
      </c>
      <c r="F45" s="40" t="n">
        <v>0</v>
      </c>
    </row>
    <row r="46" ht="18" customHeight="1">
      <c r="A46" s="35" t="n">
        <v>23</v>
      </c>
      <c r="B46" s="35" t="inlineStr">
        <is>
          <t>06-Mar</t>
        </is>
      </c>
      <c r="C46" s="35" t="inlineStr">
        <is>
          <t>TCS</t>
        </is>
      </c>
      <c r="D46" s="38" t="n">
        <v>-1750</v>
      </c>
      <c r="E46" s="38" t="n">
        <v>122000</v>
      </c>
      <c r="F46" s="38" t="n">
        <v>-1750</v>
      </c>
    </row>
    <row r="47" ht="18" customHeight="1">
      <c r="A47" s="17" t="n">
        <v>24</v>
      </c>
      <c r="B47" s="17" t="inlineStr">
        <is>
          <t>08-Mar</t>
        </is>
      </c>
      <c r="C47" s="17" t="inlineStr">
        <is>
          <t>NIFTY</t>
        </is>
      </c>
      <c r="D47" s="40" t="n">
        <v>6750</v>
      </c>
      <c r="E47" s="40" t="n">
        <v>128750</v>
      </c>
      <c r="F47" s="40" t="n">
        <v>0</v>
      </c>
    </row>
    <row r="48" ht="18" customHeight="1">
      <c r="A48" s="35" t="n">
        <v>25</v>
      </c>
      <c r="B48" s="35" t="inlineStr">
        <is>
          <t>11-Mar</t>
        </is>
      </c>
      <c r="C48" s="35" t="inlineStr">
        <is>
          <t>HDFC</t>
        </is>
      </c>
      <c r="D48" s="38" t="n">
        <v>1500</v>
      </c>
      <c r="E48" s="38" t="n">
        <v>130250</v>
      </c>
      <c r="F48" s="38" t="n">
        <v>0</v>
      </c>
    </row>
    <row r="50">
      <c r="A50" t="inlineStr">
        <is>
          <t>Result</t>
        </is>
      </c>
      <c r="B50" t="inlineStr">
        <is>
          <t>Count</t>
        </is>
      </c>
    </row>
    <row r="51">
      <c r="A51" t="inlineStr">
        <is>
          <t>Wins</t>
        </is>
      </c>
      <c r="B51" t="n">
        <v>21</v>
      </c>
    </row>
    <row r="52">
      <c r="A52" t="inlineStr">
        <is>
          <t>Losses</t>
        </is>
      </c>
      <c r="B52" t="n">
        <v>4</v>
      </c>
    </row>
  </sheetData>
  <mergeCells count="5">
    <mergeCell ref="A1:L1"/>
    <mergeCell ref="A8:F8"/>
    <mergeCell ref="A22:F22"/>
    <mergeCell ref="A3:L3"/>
    <mergeCell ref="H8:L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9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3" customWidth="1" min="10" max="10"/>
  </cols>
  <sheetData>
    <row r="1" ht="36" customHeight="1">
      <c r="A1" s="1" t="inlineStr">
        <is>
          <t>📅 MONTHLY PERFORMANCE STATISTICS</t>
        </is>
      </c>
    </row>
    <row r="2" ht="26" customHeight="1">
      <c r="A2" s="2" t="inlineStr">
        <is>
          <t>Month</t>
        </is>
      </c>
      <c r="B2" s="2" t="inlineStr">
        <is>
          <t>Trades</t>
        </is>
      </c>
      <c r="C2" s="2" t="inlineStr">
        <is>
          <t>Wins</t>
        </is>
      </c>
      <c r="D2" s="2" t="inlineStr">
        <is>
          <t>Losses</t>
        </is>
      </c>
      <c r="E2" s="2" t="inlineStr">
        <is>
          <t>Win Rate</t>
        </is>
      </c>
      <c r="F2" s="2" t="inlineStr">
        <is>
          <t>Gross Profit</t>
        </is>
      </c>
      <c r="G2" s="2" t="inlineStr">
        <is>
          <t>Gross Loss</t>
        </is>
      </c>
      <c r="H2" s="2" t="inlineStr">
        <is>
          <t>Net P&amp;L</t>
        </is>
      </c>
      <c r="I2" s="2" t="inlineStr">
        <is>
          <t>Avg Trade</t>
        </is>
      </c>
      <c r="J2" s="2" t="inlineStr">
        <is>
          <t>Best Trade</t>
        </is>
      </c>
    </row>
    <row r="3" ht="18" customHeight="1">
      <c r="A3" s="3" t="inlineStr">
        <is>
          <t>Jan 2024</t>
        </is>
      </c>
      <c r="B3" s="3" t="n">
        <v>10</v>
      </c>
      <c r="C3" s="3" t="n">
        <v>8</v>
      </c>
      <c r="D3" s="3" t="n">
        <v>2</v>
      </c>
      <c r="E3" s="7" t="n">
        <v>0.8</v>
      </c>
      <c r="F3" s="41" t="n">
        <v>47500</v>
      </c>
      <c r="G3" s="41" t="n">
        <v>-8400</v>
      </c>
      <c r="H3" s="8" t="n">
        <v>39100</v>
      </c>
      <c r="I3" s="41" t="n">
        <v>3910</v>
      </c>
      <c r="J3" s="41" t="n">
        <v>10000</v>
      </c>
    </row>
    <row r="4" ht="18" customHeight="1">
      <c r="A4" s="3" t="inlineStr">
        <is>
          <t>Feb 2024</t>
        </is>
      </c>
      <c r="B4" s="3" t="n">
        <v>10</v>
      </c>
      <c r="C4" s="3" t="n">
        <v>9</v>
      </c>
      <c r="D4" s="3" t="n">
        <v>1</v>
      </c>
      <c r="E4" s="7" t="n">
        <v>0.9</v>
      </c>
      <c r="F4" s="41" t="n">
        <v>59650</v>
      </c>
      <c r="G4" s="41" t="n">
        <v>0</v>
      </c>
      <c r="H4" s="8" t="n">
        <v>59650</v>
      </c>
      <c r="I4" s="41" t="n">
        <v>5965</v>
      </c>
      <c r="J4" s="41" t="n">
        <v>12500</v>
      </c>
    </row>
    <row r="5" ht="18" customHeight="1">
      <c r="A5" s="3" t="inlineStr">
        <is>
          <t>Mar 2024</t>
        </is>
      </c>
      <c r="B5" s="3" t="n">
        <v>5</v>
      </c>
      <c r="C5" s="3" t="n">
        <v>4</v>
      </c>
      <c r="D5" s="3" t="n">
        <v>1</v>
      </c>
      <c r="E5" s="7" t="n">
        <v>0.8</v>
      </c>
      <c r="F5" s="41" t="n">
        <v>33250</v>
      </c>
      <c r="G5" s="41" t="n">
        <v>-1750</v>
      </c>
      <c r="H5" s="8" t="n">
        <v>31500</v>
      </c>
      <c r="I5" s="41" t="n">
        <v>6300</v>
      </c>
      <c r="J5" s="41" t="n">
        <v>15000</v>
      </c>
    </row>
    <row r="6" ht="22" customHeight="1">
      <c r="A6" s="2" t="inlineStr">
        <is>
          <t>TOTAL</t>
        </is>
      </c>
      <c r="B6" s="2">
        <f>SUM(B3:B5)</f>
        <v/>
      </c>
      <c r="C6" s="2">
        <f>SUM(C3:C5)</f>
        <v/>
      </c>
      <c r="D6" s="2">
        <f>SUM(D3:D5)</f>
        <v/>
      </c>
      <c r="E6" s="42">
        <f>C6/B6</f>
        <v/>
      </c>
      <c r="F6" s="43">
        <f>SUM(F3:F5)</f>
        <v/>
      </c>
      <c r="G6" s="43">
        <f>SUM(G3:G5)</f>
        <v/>
      </c>
      <c r="H6" s="43">
        <f>SUM(H3:H5)</f>
        <v/>
      </c>
      <c r="I6" s="43">
        <f>H6/B6</f>
        <v/>
      </c>
      <c r="J6" s="43">
        <f>MAX(J3:J5)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2026-03-27T19:13:16Z</dcterms:created>
  <dcterms:modified xmlns:dcterms="http://purl.org/dc/terms/" xmlns:xsi="http://www.w3.org/2001/XMLSchema-instance" xsi:type="dcterms:W3CDTF">2026-03-27T19:13:16Z</dcterms:modified>
</cp:coreProperties>
</file>